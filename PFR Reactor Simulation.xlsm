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730" codeName="{91B80F79-697F-C00D-A1F8-6C9A07846A5C}"/>
  <workbookPr codeName="ThisWorkbook"/>
  <mc:AlternateContent xmlns:mc="http://schemas.openxmlformats.org/markup-compatibility/2006">
    <mc:Choice Requires="x15">
      <x15ac:absPath xmlns:x15ac="http://schemas.microsoft.com/office/spreadsheetml/2010/11/ac" url="C:\Users\xunxu\Desktop\All Projects\Reaction Project\"/>
    </mc:Choice>
  </mc:AlternateContent>
  <bookViews>
    <workbookView xWindow="0" yWindow="0" windowWidth="21333" windowHeight="6973" tabRatio="572" activeTab="1"/>
  </bookViews>
  <sheets>
    <sheet name="Rainbow simulator" sheetId="5508" r:id="rId1"/>
    <sheet name="Parameters" sheetId="1" r:id="rId2"/>
    <sheet name="Sheet1" sheetId="6" state="hidden" r:id="rId3"/>
    <sheet name="TEMPSHEET" sheetId="5527" r:id="rId4"/>
  </sheets>
  <functionGroups builtInGroupCount="19"/>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5527" l="1"/>
  <c r="E22" i="1" l="1"/>
  <c r="D22" i="1"/>
  <c r="E57" i="1"/>
  <c r="D57" i="1"/>
  <c r="E21" i="1"/>
  <c r="D21" i="1"/>
  <c r="C8" i="1" l="1"/>
  <c r="C6" i="1"/>
  <c r="C5" i="1"/>
  <c r="C57" i="1" l="1"/>
  <c r="C21" i="1"/>
  <c r="C22" i="1"/>
  <c r="E30" i="1" l="1"/>
  <c r="C12" i="1" l="1"/>
  <c r="F26" i="1" l="1"/>
  <c r="E32" i="1" l="1"/>
  <c r="D32" i="1"/>
  <c r="C32" i="1"/>
  <c r="B32" i="1"/>
  <c r="E31" i="1"/>
  <c r="D31" i="1"/>
  <c r="C31" i="1"/>
  <c r="B31" i="1"/>
  <c r="D30" i="1"/>
  <c r="C30" i="1"/>
  <c r="B30" i="1"/>
  <c r="E29" i="1"/>
  <c r="D29" i="1"/>
  <c r="C29" i="1"/>
  <c r="B29" i="1"/>
  <c r="E28" i="1"/>
  <c r="D28" i="1"/>
  <c r="C28" i="1"/>
  <c r="B28" i="1"/>
  <c r="E27" i="1"/>
  <c r="D27" i="1"/>
  <c r="C27" i="1"/>
  <c r="B27" i="1"/>
  <c r="E26" i="1"/>
  <c r="D26" i="1"/>
  <c r="C26" i="1"/>
  <c r="B26" i="1"/>
  <c r="G26" i="1"/>
  <c r="F27" i="1"/>
  <c r="G27" i="1"/>
  <c r="F28" i="1"/>
  <c r="G28" i="1"/>
  <c r="F29" i="1"/>
  <c r="G29" i="1"/>
  <c r="F30" i="1"/>
  <c r="G30" i="1"/>
  <c r="F31" i="1"/>
  <c r="G31" i="1"/>
  <c r="E64" i="1" l="1"/>
  <c r="C64" i="1"/>
  <c r="D64" i="1"/>
  <c r="F33" i="1"/>
</calcChain>
</file>

<file path=xl/sharedStrings.xml><?xml version="1.0" encoding="utf-8"?>
<sst xmlns="http://schemas.openxmlformats.org/spreadsheetml/2006/main" count="143" uniqueCount="106">
  <si>
    <t xml:space="preserve"> </t>
  </si>
  <si>
    <t>bbr/CSTR</t>
  </si>
  <si>
    <t>U</t>
  </si>
  <si>
    <t xml:space="preserve">Independent variables </t>
  </si>
  <si>
    <t xml:space="preserve">Dependent variables </t>
  </si>
  <si>
    <t>Constants</t>
  </si>
  <si>
    <t xml:space="preserve">Reaction Properties </t>
  </si>
  <si>
    <t>Reaction properties (298 K)</t>
  </si>
  <si>
    <t>A</t>
  </si>
  <si>
    <t>B</t>
  </si>
  <si>
    <t>C</t>
  </si>
  <si>
    <t>D</t>
  </si>
  <si>
    <t>E</t>
  </si>
  <si>
    <t>K2c</t>
  </si>
  <si>
    <t>Ea2</t>
  </si>
  <si>
    <t>K</t>
  </si>
  <si>
    <t>Species</t>
  </si>
  <si>
    <t>Molecular Weight (kg/mol)</t>
  </si>
  <si>
    <t>Heat of Formation (J/mol)</t>
  </si>
  <si>
    <t>I</t>
  </si>
  <si>
    <t>Total</t>
  </si>
  <si>
    <t>Reference temperature (K)</t>
  </si>
  <si>
    <t>Initial temperature  (K)</t>
  </si>
  <si>
    <t>Cp-c</t>
  </si>
  <si>
    <t>Cp-b</t>
  </si>
  <si>
    <t>Cp-a</t>
  </si>
  <si>
    <t>Cp-d</t>
  </si>
  <si>
    <t>Mw</t>
  </si>
  <si>
    <t>Hf</t>
  </si>
  <si>
    <t xml:space="preserve">Surface coverage </t>
  </si>
  <si>
    <t>SA</t>
  </si>
  <si>
    <t>ø</t>
  </si>
  <si>
    <t>Pipe Diameter (m)</t>
  </si>
  <si>
    <t>Ta</t>
  </si>
  <si>
    <t>Activation Energy (J/mol)</t>
  </si>
  <si>
    <t>Enthalpy per reaction (J/mol)</t>
  </si>
  <si>
    <t>Cp of the coolant (J/mol.K)</t>
  </si>
  <si>
    <t>Density of the coolant (kg/m³)</t>
  </si>
  <si>
    <t>Cp-coolant</t>
  </si>
  <si>
    <t>p-coolant</t>
  </si>
  <si>
    <t>Gas constant (J/mol.K)</t>
  </si>
  <si>
    <t>dpipe</t>
  </si>
  <si>
    <t>deltaH1</t>
  </si>
  <si>
    <t>deltaH2</t>
  </si>
  <si>
    <t>deltaH3</t>
  </si>
  <si>
    <t>K1a</t>
  </si>
  <si>
    <t>k3i</t>
  </si>
  <si>
    <t>k-3u</t>
  </si>
  <si>
    <t>FLOWA</t>
  </si>
  <si>
    <t>FLOWB</t>
  </si>
  <si>
    <t>FLOWC</t>
  </si>
  <si>
    <t>FLOWD</t>
  </si>
  <si>
    <t>FLOWU</t>
  </si>
  <si>
    <t>FLOWE</t>
  </si>
  <si>
    <t>FLOWI</t>
  </si>
  <si>
    <t>FLOWT</t>
  </si>
  <si>
    <t>PRESS</t>
  </si>
  <si>
    <t>TEMP</t>
  </si>
  <si>
    <t>GASR</t>
  </si>
  <si>
    <t>TREF</t>
  </si>
  <si>
    <t>VISC</t>
  </si>
  <si>
    <t>UHEAT</t>
  </si>
  <si>
    <t>Ea1</t>
  </si>
  <si>
    <t>Ea3 Fwd</t>
  </si>
  <si>
    <t>rhocatalyst</t>
  </si>
  <si>
    <t>Dcp</t>
  </si>
  <si>
    <t>Diameter of catalyst particle (m)</t>
  </si>
  <si>
    <t>Initial pressure  (Pa)</t>
  </si>
  <si>
    <t>Ea3 Rev</t>
  </si>
  <si>
    <t>deltaH-3</t>
  </si>
  <si>
    <t>Molar flow rate of species A (mol/s)</t>
  </si>
  <si>
    <t>Molar flow rate of species B (mol/s)</t>
  </si>
  <si>
    <t>Molar flow rate of species C (mol/s)</t>
  </si>
  <si>
    <t>Molar flow rate of species D (mol/s)</t>
  </si>
  <si>
    <t>Molar flow rate of species U (mol/s)</t>
  </si>
  <si>
    <t>Molar flow rate of species E (mol/s)</t>
  </si>
  <si>
    <t>Molar flow rate of inert species (mol/s)</t>
  </si>
  <si>
    <t>Total Molar flow rate  (mol/s)</t>
  </si>
  <si>
    <t>Catalyst density (kg/m^(3))</t>
  </si>
  <si>
    <t>Void fraction</t>
  </si>
  <si>
    <t>Cross-sectional area of the pipe  (m^(2))</t>
  </si>
  <si>
    <t>Superficial mass velocity (kg/m^(2)*s)</t>
  </si>
  <si>
    <t>Viscosity (Pa*s)</t>
  </si>
  <si>
    <t>Heat tranfer cofficient ((W/m^(2)*K))</t>
  </si>
  <si>
    <t>Coolant temperature (K)</t>
  </si>
  <si>
    <t xml:space="preserve">Ea </t>
  </si>
  <si>
    <t>Pipe size</t>
  </si>
  <si>
    <t>Simulation Parameters</t>
  </si>
  <si>
    <r>
      <t>ΔH</t>
    </r>
    <r>
      <rPr>
        <sz val="11"/>
        <color theme="1"/>
        <rFont val="Calibri"/>
        <family val="2"/>
      </rPr>
      <t>˚</t>
    </r>
  </si>
  <si>
    <t>Variable name</t>
  </si>
  <si>
    <t>Values</t>
  </si>
  <si>
    <t>Variable</t>
  </si>
  <si>
    <t>Rainbow Reaction Simulator</t>
  </si>
  <si>
    <t>Instructions</t>
  </si>
  <si>
    <t>Numerical method parameters</t>
  </si>
  <si>
    <t>Maximum percent error:</t>
  </si>
  <si>
    <t>Initial catalyst weight (kg):</t>
  </si>
  <si>
    <t>Final catalyst weight (kg):</t>
  </si>
  <si>
    <t>(Optional parameters)</t>
  </si>
  <si>
    <t>Minimum number of steps:</t>
  </si>
  <si>
    <t>Maximum number of steps:</t>
  </si>
  <si>
    <t>Simulator for packed bed reactors for catalytic production of gas phase Unicorn.
Designed by the Sunshine and Rainbows Consulting Group</t>
  </si>
  <si>
    <t>Specify reactor parameters for combinations on the "Parameters" sheet. On this sheet, specify parameters for the numerical method. When parameters are set, use the "Optimize" button to generate all combinations of the input parameters. Each system will be solved, and results presented in new worksheets "Charts" and "Tables".</t>
  </si>
  <si>
    <t>(Prevents excessive processing time, but solutions may not reach</t>
  </si>
  <si>
    <t xml:space="preserve"> the final catalyst weight specified)</t>
  </si>
  <si>
    <t>Simulation parameters may be varied on this sheet. Contiguous ranges of variables will be used to generate combinations (there is no limit to how long these ranges may be). Not all available parameters are listed by default (some temperatures and pipe sizes excluded, not every possible pressure listed).
Note: rows with static parameters are hidden by default. Rows may be unhidden to see all input parameters.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</si>
</sst>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
  </numFmts>
  <fonts count="8" x14ac:knownFonts="1">
    <font>
      <sz val="11"/>
      <color theme="1"/>
      <name val="Calibri"/>
      <family val="2"/>
      <scheme val="minor"/>
    </font>
    <font>
      <b/>
      <sz val="11"/>
      <color theme="1"/>
      <name val="Calibri"/>
      <family val="2"/>
      <scheme val="minor"/>
    </font>
    <font>
      <sz val="11"/>
      <color theme="1"/>
      <name val="Calibri"/>
      <family val="2"/>
    </font>
    <font>
      <b/>
      <sz val="14"/>
      <color theme="1"/>
      <name val="Calibri"/>
      <family val="2"/>
      <scheme val="minor"/>
    </font>
    <font>
      <b/>
      <sz val="36"/>
      <color theme="1"/>
      <name val="Calibri"/>
      <family val="2"/>
      <scheme val="minor"/>
    </font>
    <font>
      <i/>
      <sz val="11"/>
      <color theme="1"/>
      <name val="Calibri"/>
      <family val="2"/>
      <scheme val="minor"/>
    </font>
    <font>
      <sz val="32"/>
      <color theme="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25">
    <xf numFmtId="0" fontId="0" fillId="0" borderId="0" xfId="0"/>
    <xf numFmtId="0" fontId="0" fillId="0" borderId="0" xfId="0" applyFont="1" applyFill="1"/>
    <xf numFmtId="0" fontId="1" fillId="0" borderId="0" xfId="0" applyFont="1" applyFill="1"/>
    <xf numFmtId="2" fontId="0" fillId="0" borderId="0" xfId="0" applyNumberFormat="1" applyFont="1" applyFill="1"/>
    <xf numFmtId="11" fontId="0" fillId="0" borderId="0" xfId="0" applyNumberFormat="1" applyFont="1" applyFill="1"/>
    <xf numFmtId="0" fontId="0" fillId="0" borderId="0" xfId="0" applyFont="1" applyFill="1" applyBorder="1"/>
    <xf numFmtId="0" fontId="2" fillId="0" borderId="0" xfId="0" applyFont="1" applyFill="1" applyBorder="1"/>
    <xf numFmtId="0" fontId="2" fillId="0" borderId="0" xfId="0" applyFont="1" applyFill="1"/>
    <xf numFmtId="0" fontId="0" fillId="0" borderId="0" xfId="0" applyAlignment="1">
      <alignment horizontal="center"/>
    </xf>
    <xf numFmtId="0" fontId="0" fillId="0" borderId="0" xfId="0" applyAlignment="1">
      <alignment horizontal="left" vertical="center" wrapText="1"/>
    </xf>
    <xf numFmtId="0" fontId="0" fillId="0" borderId="0" xfId="0" applyFont="1" applyFill="1" applyAlignment="1">
      <alignment horizontal="right"/>
    </xf>
    <xf numFmtId="164" fontId="0" fillId="0" borderId="0" xfId="0" applyNumberFormat="1" applyAlignment="1">
      <alignment horizontal="right" vertical="center" wrapText="1"/>
    </xf>
    <xf numFmtId="0" fontId="0" fillId="0" borderId="0" xfId="0" applyAlignment="1">
      <alignment horizontal="right" vertical="center" wrapText="1"/>
    </xf>
    <xf numFmtId="0" fontId="0" fillId="0" borderId="0" xfId="0" applyAlignment="1">
      <alignment horizontal="right"/>
    </xf>
    <xf numFmtId="0" fontId="5" fillId="0" borderId="0" xfId="0" applyFont="1"/>
    <xf numFmtId="0" fontId="0" fillId="0" borderId="0" xfId="0" applyAlignment="1">
      <alignment horizontal="center"/>
    </xf>
    <xf numFmtId="0" fontId="3" fillId="0" borderId="0" xfId="0" applyFont="1" applyAlignment="1">
      <alignment horizontal="center" wrapText="1"/>
    </xf>
    <xf numFmtId="0" fontId="0" fillId="0" borderId="0" xfId="0" applyAlignment="1">
      <alignment horizontal="center" vertical="center"/>
    </xf>
    <xf numFmtId="0" fontId="0" fillId="0" borderId="0" xfId="0" applyAlignment="1">
      <alignment horizontal="center" vertical="center" wrapText="1"/>
    </xf>
    <xf numFmtId="0" fontId="5" fillId="0" borderId="0" xfId="0" applyFont="1" applyAlignment="1">
      <alignment horizontal="center"/>
    </xf>
    <xf numFmtId="0" fontId="4" fillId="0" borderId="0" xfId="0" applyFont="1" applyFill="1" applyAlignment="1">
      <alignment horizontal="center" vertical="center"/>
    </xf>
    <xf numFmtId="0" fontId="0" fillId="0" borderId="0" xfId="0" applyFont="1" applyFill="1" applyAlignment="1">
      <alignment horizontal="center" vertical="center" wrapText="1"/>
    </xf>
    <xf numFmtId="0" fontId="3" fillId="0" borderId="0" xfId="0" applyFont="1" applyAlignment="1">
      <alignment horizontal="center"/>
    </xf>
    <xf numFmtId="0" fontId="6" fillId="0" borderId="0" xfId="0" applyFont="1" applyFill="1" applyAlignment="1">
      <alignment horizontal="center" vertical="center"/>
    </xf>
    <xf numFmtId="0" fontId="1" fillId="0" borderId="0" xfId="0" applyFont="1" applyFill="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0</xdr:colOff>
      <xdr:row>2</xdr:row>
      <xdr:rowOff>0</xdr:rowOff>
    </xdr:from>
    <xdr:to>
      <xdr:col>7</xdr:col>
      <xdr:colOff>0</xdr:colOff>
      <xdr:row>6</xdr:row>
      <xdr:rowOff>9525</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0" y="1695450"/>
          <a:ext cx="8801100" cy="771525"/>
        </a:xfrm>
        <a:prstGeom prst="rect">
          <a:avLst/>
        </a:prstGeom>
        <a:gradFill>
          <a:gsLst>
            <a:gs pos="0">
              <a:srgbClr val="FF0000"/>
            </a:gs>
            <a:gs pos="18000">
              <a:srgbClr val="FFC000"/>
            </a:gs>
            <a:gs pos="36000">
              <a:srgbClr val="FFFF00"/>
            </a:gs>
            <a:gs pos="100000">
              <a:srgbClr val="7030A0"/>
            </a:gs>
            <a:gs pos="76000">
              <a:srgbClr val="0070C0"/>
            </a:gs>
            <a:gs pos="55000">
              <a:srgbClr val="92D050"/>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2</xdr:col>
          <xdr:colOff>0</xdr:colOff>
          <xdr:row>22</xdr:row>
          <xdr:rowOff>8467</xdr:rowOff>
        </xdr:from>
        <xdr:to>
          <xdr:col>5</xdr:col>
          <xdr:colOff>0</xdr:colOff>
          <xdr:row>24</xdr:row>
          <xdr:rowOff>182033</xdr:rowOff>
        </xdr:to>
        <xdr:sp macro="" textlink="">
          <xdr:nvSpPr>
            <xdr:cNvPr id="1881089" name="Button 1" hidden="1">
              <a:extLst>
                <a:ext uri="{63B3BB69-23CF-44E3-9099-C40C66FF867C}">
                  <a14:compatExt spid="_x0000_s1881089"/>
                </a:ext>
                <a:ext uri="{FF2B5EF4-FFF2-40B4-BE49-F238E27FC236}">
                  <a16:creationId xmlns:a16="http://schemas.microsoft.com/office/drawing/2014/main" id="{00000000-0008-0000-0000-000001B41C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CA" sz="1100" b="0" i="0" u="none" strike="noStrike" baseline="0">
                  <a:solidFill>
                    <a:srgbClr val="000000"/>
                  </a:solidFill>
                  <a:latin typeface="Calibri"/>
                  <a:cs typeface="Calibri"/>
                </a:rPr>
                <a:t>Optimize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37"/>
  <dimension ref="A1:AN21"/>
  <sheetViews>
    <sheetView topLeftCell="A13" workbookViewId="0">
      <selection activeCell="B34" sqref="B34"/>
    </sheetView>
  </sheetViews>
  <sheetFormatPr defaultRowHeight="14.35" x14ac:dyDescent="0.5"/>
  <cols>
    <col min="1" max="2" width="18.87890625" customWidth="1"/>
    <col min="3" max="3" width="18.87890625" style="13" customWidth="1"/>
    <col min="4" max="7" width="18.87890625" customWidth="1"/>
  </cols>
  <sheetData>
    <row r="1" spans="1:40" s="1" customFormat="1" ht="60" customHeight="1" x14ac:dyDescent="0.5">
      <c r="A1" s="20" t="s">
        <v>92</v>
      </c>
      <c r="B1" s="20"/>
      <c r="C1" s="20"/>
      <c r="D1" s="20"/>
      <c r="E1" s="20"/>
      <c r="F1" s="20"/>
      <c r="G1" s="20"/>
    </row>
    <row r="2" spans="1:40" s="1" customFormat="1" ht="49.5" customHeight="1" x14ac:dyDescent="0.5">
      <c r="A2" s="21" t="s">
        <v>101</v>
      </c>
      <c r="B2" s="21"/>
      <c r="C2" s="21"/>
      <c r="D2" s="21"/>
      <c r="E2" s="21"/>
      <c r="F2" s="21"/>
      <c r="G2" s="21"/>
      <c r="K2" s="1" t="s">
        <v>0</v>
      </c>
      <c r="AN2" s="1" t="s">
        <v>1</v>
      </c>
    </row>
    <row r="3" spans="1:40" s="1" customFormat="1" x14ac:dyDescent="0.5">
      <c r="C3" s="10"/>
    </row>
    <row r="7" spans="1:40" ht="18.75" customHeight="1" x14ac:dyDescent="0.5">
      <c r="A7" s="22" t="s">
        <v>93</v>
      </c>
      <c r="B7" s="22"/>
      <c r="C7" s="22"/>
      <c r="D7" s="22"/>
      <c r="E7" s="22"/>
      <c r="F7" s="22"/>
      <c r="G7" s="22"/>
    </row>
    <row r="8" spans="1:40" ht="6" customHeight="1" x14ac:dyDescent="0.5">
      <c r="A8" s="22"/>
      <c r="B8" s="22"/>
      <c r="C8" s="22"/>
      <c r="D8" s="22"/>
      <c r="E8" s="22"/>
      <c r="F8" s="22"/>
      <c r="G8" s="22"/>
    </row>
    <row r="9" spans="1:40" x14ac:dyDescent="0.5">
      <c r="A9" s="18" t="s">
        <v>102</v>
      </c>
      <c r="B9" s="18"/>
      <c r="C9" s="18"/>
      <c r="D9" s="18"/>
      <c r="E9" s="18"/>
      <c r="F9" s="18"/>
      <c r="G9" s="18"/>
    </row>
    <row r="10" spans="1:40" ht="15" customHeight="1" x14ac:dyDescent="0.5">
      <c r="A10" s="18"/>
      <c r="B10" s="18"/>
      <c r="C10" s="18"/>
      <c r="D10" s="18"/>
      <c r="E10" s="18"/>
      <c r="F10" s="18"/>
      <c r="G10" s="18"/>
    </row>
    <row r="11" spans="1:40" x14ac:dyDescent="0.5">
      <c r="A11" s="18"/>
      <c r="B11" s="18"/>
      <c r="C11" s="18"/>
      <c r="D11" s="18"/>
      <c r="E11" s="18"/>
      <c r="F11" s="18"/>
      <c r="G11" s="18"/>
    </row>
    <row r="12" spans="1:40" x14ac:dyDescent="0.5">
      <c r="A12" s="18"/>
      <c r="B12" s="18"/>
      <c r="C12" s="18"/>
      <c r="D12" s="18"/>
      <c r="E12" s="18"/>
      <c r="F12" s="18"/>
      <c r="G12" s="18"/>
    </row>
    <row r="13" spans="1:40" ht="25.5" customHeight="1" x14ac:dyDescent="0.6">
      <c r="A13" s="16" t="s">
        <v>94</v>
      </c>
      <c r="B13" s="16"/>
      <c r="C13" s="16"/>
      <c r="D13" s="16"/>
      <c r="E13" s="16"/>
      <c r="F13" s="16"/>
      <c r="G13" s="16"/>
    </row>
    <row r="14" spans="1:40" x14ac:dyDescent="0.5">
      <c r="A14" s="17" t="s">
        <v>95</v>
      </c>
      <c r="B14" s="17"/>
      <c r="C14" s="11">
        <v>1E-3</v>
      </c>
      <c r="D14" s="9"/>
      <c r="E14" s="9"/>
      <c r="F14" s="9"/>
      <c r="G14" s="9"/>
    </row>
    <row r="15" spans="1:40" x14ac:dyDescent="0.5">
      <c r="A15" s="18" t="s">
        <v>96</v>
      </c>
      <c r="B15" s="18"/>
      <c r="C15" s="12">
        <v>0</v>
      </c>
      <c r="D15" s="9"/>
      <c r="E15" s="9"/>
      <c r="F15" s="9"/>
      <c r="G15" s="9"/>
    </row>
    <row r="16" spans="1:40" x14ac:dyDescent="0.5">
      <c r="A16" s="18" t="s">
        <v>97</v>
      </c>
      <c r="B16" s="18"/>
      <c r="C16" s="12">
        <v>150</v>
      </c>
      <c r="D16" s="9"/>
      <c r="E16" s="9"/>
      <c r="F16" s="9"/>
      <c r="G16" s="9"/>
    </row>
    <row r="17" spans="1:5" ht="5.25" customHeight="1" x14ac:dyDescent="0.5"/>
    <row r="18" spans="1:5" x14ac:dyDescent="0.5">
      <c r="A18" s="19" t="s">
        <v>98</v>
      </c>
      <c r="B18" s="19"/>
    </row>
    <row r="19" spans="1:5" x14ac:dyDescent="0.5">
      <c r="A19" s="15" t="s">
        <v>99</v>
      </c>
      <c r="B19" s="15"/>
      <c r="C19" s="13">
        <v>10</v>
      </c>
    </row>
    <row r="20" spans="1:5" x14ac:dyDescent="0.5">
      <c r="A20" s="15" t="s">
        <v>100</v>
      </c>
      <c r="B20" s="15"/>
      <c r="C20" s="13">
        <v>20</v>
      </c>
      <c r="E20" s="14" t="s">
        <v>103</v>
      </c>
    </row>
    <row r="21" spans="1:5" x14ac:dyDescent="0.5">
      <c r="A21" s="8"/>
      <c r="B21" s="8"/>
      <c r="E21" s="14" t="s">
        <v>104</v>
      </c>
    </row>
  </sheetData>
  <sheetProtection algorithmName="SHA-512" hashValue="/cQovOxhXOUCVHYVUpo468WUKaB+DVDLW7EqF8qQ0h3Odt9hATsBzbhf0JENdReOWFfU4xENGOZFZlQTJJb9vg==" saltValue="pMjRLDKRDacMzfPHyH+YUQ==" spinCount="100000" sheet="1" objects="1" scenarios="1"/>
  <protectedRanges>
    <protectedRange sqref="C14:C20" name="NumericalMethod"/>
  </protectedRanges>
  <mergeCells count="11">
    <mergeCell ref="A1:G1"/>
    <mergeCell ref="A2:G2"/>
    <mergeCell ref="A9:G12"/>
    <mergeCell ref="A7:G8"/>
    <mergeCell ref="A19:B19"/>
    <mergeCell ref="A20:B20"/>
    <mergeCell ref="A13:G13"/>
    <mergeCell ref="A14:B14"/>
    <mergeCell ref="A15:B15"/>
    <mergeCell ref="A16:B16"/>
    <mergeCell ref="A18:B1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81089" r:id="rId4" name="Button 1">
              <controlPr defaultSize="0" print="0" autoFill="0" autoPict="0" macro="[0]!PBRBaseCase">
                <anchor moveWithCells="1" sizeWithCells="1">
                  <from>
                    <xdr:col>2</xdr:col>
                    <xdr:colOff>0</xdr:colOff>
                    <xdr:row>22</xdr:row>
                    <xdr:rowOff>8467</xdr:rowOff>
                  </from>
                  <to>
                    <xdr:col>5</xdr:col>
                    <xdr:colOff>0</xdr:colOff>
                    <xdr:row>24</xdr:row>
                    <xdr:rowOff>182033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Q122"/>
  <sheetViews>
    <sheetView tabSelected="1" zoomScaleNormal="100" workbookViewId="0">
      <selection activeCell="C6" sqref="C6"/>
    </sheetView>
  </sheetViews>
  <sheetFormatPr defaultColWidth="9.29296875" defaultRowHeight="14.35" x14ac:dyDescent="0.5"/>
  <cols>
    <col min="1" max="1" width="37.1171875" style="1" bestFit="1" customWidth="1"/>
    <col min="2" max="2" width="14" style="1" bestFit="1" customWidth="1"/>
    <col min="3" max="8" width="13.41015625" style="1" customWidth="1"/>
    <col min="9" max="9" width="14.41015625" style="1" customWidth="1"/>
    <col min="10" max="10" width="13.87890625" style="1" customWidth="1"/>
    <col min="11" max="24" width="9.29296875" style="1"/>
    <col min="25" max="25" width="9.29296875" style="1" customWidth="1"/>
    <col min="26" max="16384" width="9.29296875" style="1"/>
  </cols>
  <sheetData>
    <row r="1" spans="1:40" ht="41" x14ac:dyDescent="0.5">
      <c r="A1" s="23" t="s">
        <v>87</v>
      </c>
      <c r="B1" s="23"/>
      <c r="C1" s="23"/>
      <c r="D1" s="23"/>
      <c r="E1" s="23"/>
      <c r="F1" s="23"/>
      <c r="G1" s="23"/>
    </row>
    <row r="2" spans="1:40" ht="73.5" customHeight="1" x14ac:dyDescent="0.5">
      <c r="A2" s="21" t="s">
        <v>105</v>
      </c>
      <c r="B2" s="21"/>
      <c r="C2" s="21"/>
      <c r="D2" s="21"/>
      <c r="E2" s="21"/>
      <c r="F2" s="21"/>
      <c r="G2" s="21"/>
      <c r="K2" s="1" t="s">
        <v>0</v>
      </c>
      <c r="AN2" s="1" t="s">
        <v>1</v>
      </c>
    </row>
    <row r="4" spans="1:40" x14ac:dyDescent="0.5">
      <c r="A4" s="2" t="s">
        <v>91</v>
      </c>
      <c r="B4" s="2" t="s">
        <v>89</v>
      </c>
      <c r="C4" s="24" t="s">
        <v>90</v>
      </c>
      <c r="D4" s="24"/>
      <c r="E4" s="24"/>
      <c r="F4" s="24"/>
      <c r="G4" s="24"/>
    </row>
    <row r="5" spans="1:40" x14ac:dyDescent="0.5">
      <c r="A5" s="1" t="s">
        <v>70</v>
      </c>
      <c r="B5" s="1" t="s">
        <v>48</v>
      </c>
      <c r="C5" s="3">
        <f>1/6</f>
        <v>0.16666666666666666</v>
      </c>
      <c r="F5" s="3"/>
      <c r="G5" s="3"/>
      <c r="H5" s="3"/>
    </row>
    <row r="6" spans="1:40" x14ac:dyDescent="0.5">
      <c r="A6" s="1" t="s">
        <v>71</v>
      </c>
      <c r="B6" s="1" t="s">
        <v>49</v>
      </c>
      <c r="C6" s="3">
        <f>3/6</f>
        <v>0.5</v>
      </c>
      <c r="F6" s="3"/>
      <c r="G6" s="3"/>
      <c r="H6" s="3"/>
    </row>
    <row r="7" spans="1:40" x14ac:dyDescent="0.5">
      <c r="A7" s="1" t="s">
        <v>72</v>
      </c>
      <c r="B7" s="1" t="s">
        <v>50</v>
      </c>
      <c r="C7" s="3">
        <v>0</v>
      </c>
      <c r="F7" s="3"/>
      <c r="G7" s="3"/>
      <c r="H7" s="3"/>
    </row>
    <row r="8" spans="1:40" x14ac:dyDescent="0.5">
      <c r="A8" s="1" t="s">
        <v>73</v>
      </c>
      <c r="B8" s="1" t="s">
        <v>51</v>
      </c>
      <c r="C8" s="3">
        <f>2/6</f>
        <v>0.33333333333333331</v>
      </c>
      <c r="F8" s="3"/>
      <c r="G8" s="3"/>
      <c r="H8" s="3"/>
    </row>
    <row r="9" spans="1:40" x14ac:dyDescent="0.5">
      <c r="A9" s="1" t="s">
        <v>74</v>
      </c>
      <c r="B9" s="1" t="s">
        <v>52</v>
      </c>
      <c r="C9" s="3">
        <v>0</v>
      </c>
      <c r="F9" s="3"/>
      <c r="G9" s="3"/>
      <c r="H9" s="3"/>
    </row>
    <row r="10" spans="1:40" x14ac:dyDescent="0.5">
      <c r="A10" s="1" t="s">
        <v>75</v>
      </c>
      <c r="B10" s="1" t="s">
        <v>53</v>
      </c>
      <c r="C10" s="3">
        <v>0</v>
      </c>
      <c r="F10" s="3"/>
      <c r="G10" s="3"/>
      <c r="H10" s="3"/>
    </row>
    <row r="11" spans="1:40" x14ac:dyDescent="0.5">
      <c r="A11" s="1" t="s">
        <v>76</v>
      </c>
      <c r="B11" s="1" t="s">
        <v>54</v>
      </c>
      <c r="C11" s="3">
        <v>0</v>
      </c>
      <c r="F11" s="3"/>
      <c r="G11" s="3"/>
      <c r="H11" s="3"/>
    </row>
    <row r="12" spans="1:40" x14ac:dyDescent="0.5">
      <c r="A12" s="1" t="s">
        <v>77</v>
      </c>
      <c r="B12" s="1" t="s">
        <v>55</v>
      </c>
      <c r="C12" s="3">
        <f>SUM(C5:C11)</f>
        <v>1</v>
      </c>
      <c r="F12" s="3"/>
      <c r="G12" s="3"/>
    </row>
    <row r="13" spans="1:40" ht="15.75" customHeight="1" x14ac:dyDescent="0.5">
      <c r="C13" s="3"/>
    </row>
    <row r="14" spans="1:40" hidden="1" x14ac:dyDescent="0.5">
      <c r="C14" s="3"/>
    </row>
    <row r="15" spans="1:40" hidden="1" x14ac:dyDescent="0.5">
      <c r="C15" s="3"/>
    </row>
    <row r="16" spans="1:40" hidden="1" x14ac:dyDescent="0.5">
      <c r="C16" s="3"/>
    </row>
    <row r="17" spans="1:7" hidden="1" x14ac:dyDescent="0.5">
      <c r="C17" s="3"/>
    </row>
    <row r="18" spans="1:7" hidden="1" x14ac:dyDescent="0.5">
      <c r="C18" s="3"/>
    </row>
    <row r="19" spans="1:7" hidden="1" x14ac:dyDescent="0.5">
      <c r="C19" s="3"/>
    </row>
    <row r="20" spans="1:7" hidden="1" x14ac:dyDescent="0.5"/>
    <row r="21" spans="1:7" x14ac:dyDescent="0.5">
      <c r="A21" s="1" t="s">
        <v>67</v>
      </c>
      <c r="B21" s="1" t="s">
        <v>56</v>
      </c>
      <c r="C21" s="1">
        <f>2*101325</f>
        <v>202650</v>
      </c>
      <c r="D21" s="1">
        <f>101325*6</f>
        <v>607950</v>
      </c>
      <c r="E21" s="1">
        <f>101325*9</f>
        <v>911925</v>
      </c>
    </row>
    <row r="22" spans="1:7" x14ac:dyDescent="0.5">
      <c r="A22" s="1" t="s">
        <v>22</v>
      </c>
      <c r="B22" s="1" t="s">
        <v>57</v>
      </c>
      <c r="C22" s="1">
        <f>273.15+5</f>
        <v>278.14999999999998</v>
      </c>
      <c r="D22" s="1">
        <f>273.15+160</f>
        <v>433.15</v>
      </c>
      <c r="E22" s="1">
        <f>273.15+254</f>
        <v>527.15</v>
      </c>
    </row>
    <row r="23" spans="1:7" hidden="1" x14ac:dyDescent="0.5"/>
    <row r="24" spans="1:7" hidden="1" x14ac:dyDescent="0.5">
      <c r="F24" s="1" t="s">
        <v>17</v>
      </c>
      <c r="G24" s="1" t="s">
        <v>18</v>
      </c>
    </row>
    <row r="25" spans="1:7" hidden="1" x14ac:dyDescent="0.5">
      <c r="A25" s="1" t="s">
        <v>16</v>
      </c>
      <c r="B25" s="1" t="s">
        <v>25</v>
      </c>
      <c r="C25" s="1" t="s">
        <v>24</v>
      </c>
      <c r="D25" s="1" t="s">
        <v>23</v>
      </c>
      <c r="E25" s="1" t="s">
        <v>26</v>
      </c>
      <c r="F25" s="1" t="s">
        <v>27</v>
      </c>
      <c r="G25" s="1" t="s">
        <v>28</v>
      </c>
    </row>
    <row r="26" spans="1:7" hidden="1" x14ac:dyDescent="0.5">
      <c r="A26" s="1" t="s">
        <v>8</v>
      </c>
      <c r="B26" s="1">
        <f>30*10^-3</f>
        <v>0.03</v>
      </c>
      <c r="C26" s="1">
        <f>44*10^-4</f>
        <v>4.4000000000000003E-3</v>
      </c>
      <c r="D26" s="1">
        <f>-4.5*10^-8</f>
        <v>-4.4999999999999999E-8</v>
      </c>
      <c r="E26" s="1">
        <f>1.3*10^-12</f>
        <v>1.3000000000000001E-12</v>
      </c>
      <c r="F26" s="1">
        <f>150/1000</f>
        <v>0.15</v>
      </c>
      <c r="G26" s="1">
        <f>-15*1000</f>
        <v>-15000</v>
      </c>
    </row>
    <row r="27" spans="1:7" hidden="1" x14ac:dyDescent="0.5">
      <c r="A27" s="1" t="s">
        <v>9</v>
      </c>
      <c r="B27" s="1">
        <f>46*10^-3</f>
        <v>4.5999999999999999E-2</v>
      </c>
      <c r="C27" s="1">
        <f>12*10^-4</f>
        <v>1.2000000000000001E-3</v>
      </c>
      <c r="D27" s="1">
        <f>-13*10^-12</f>
        <v>-1.3E-11</v>
      </c>
      <c r="E27" s="1">
        <f>7.8*10^-12</f>
        <v>7.7999999999999999E-12</v>
      </c>
      <c r="F27" s="1">
        <f>400/1000</f>
        <v>0.4</v>
      </c>
      <c r="G27" s="1">
        <f>-15*1000</f>
        <v>-15000</v>
      </c>
    </row>
    <row r="28" spans="1:7" hidden="1" x14ac:dyDescent="0.5">
      <c r="A28" s="1" t="s">
        <v>10</v>
      </c>
      <c r="B28" s="1">
        <f>78*10^-3</f>
        <v>7.8E-2</v>
      </c>
      <c r="C28" s="1">
        <f>45*10^-4</f>
        <v>4.5000000000000005E-3</v>
      </c>
      <c r="D28" s="1">
        <f>-21*10^-12</f>
        <v>-2.0999999999999999E-11</v>
      </c>
      <c r="E28" s="1">
        <f>4.5*10^-12</f>
        <v>4.4999999999999998E-12</v>
      </c>
      <c r="F28" s="1">
        <f>260/1000</f>
        <v>0.26</v>
      </c>
      <c r="G28" s="1">
        <f>-50*1000</f>
        <v>-50000</v>
      </c>
    </row>
    <row r="29" spans="1:7" hidden="1" x14ac:dyDescent="0.5">
      <c r="A29" s="1" t="s">
        <v>11</v>
      </c>
      <c r="B29" s="1">
        <f>70*10^-3</f>
        <v>7.0000000000000007E-2</v>
      </c>
      <c r="C29" s="1">
        <f>64*10^-4</f>
        <v>6.4000000000000003E-3</v>
      </c>
      <c r="D29" s="1">
        <f>-4.6*10^-12</f>
        <v>-4.5999999999999998E-12</v>
      </c>
      <c r="E29" s="1">
        <f>4.6*10^-12</f>
        <v>4.5999999999999998E-12</v>
      </c>
      <c r="F29" s="1">
        <f>130/1000</f>
        <v>0.13</v>
      </c>
      <c r="G29" s="1">
        <f>-5*1000</f>
        <v>-5000</v>
      </c>
    </row>
    <row r="30" spans="1:7" hidden="1" x14ac:dyDescent="0.5">
      <c r="A30" s="1" t="s">
        <v>12</v>
      </c>
      <c r="B30" s="1">
        <f>10*10^-3</f>
        <v>0.01</v>
      </c>
      <c r="C30" s="1">
        <f>27*10^-4</f>
        <v>2.7000000000000001E-3</v>
      </c>
      <c r="D30" s="1">
        <f>-79*10^-12</f>
        <v>-7.8999999999999999E-11</v>
      </c>
      <c r="E30" s="1">
        <f>1.9*10^-12</f>
        <v>1.9E-12</v>
      </c>
      <c r="F30" s="1">
        <f>220/1000</f>
        <v>0.22</v>
      </c>
      <c r="G30" s="1">
        <f>-12.5*1000</f>
        <v>-12500</v>
      </c>
    </row>
    <row r="31" spans="1:7" hidden="1" x14ac:dyDescent="0.5">
      <c r="A31" s="1" t="s">
        <v>2</v>
      </c>
      <c r="B31" s="1">
        <f>46*10^-3</f>
        <v>4.5999999999999999E-2</v>
      </c>
      <c r="C31" s="1">
        <f>13*10^-4</f>
        <v>1.3000000000000002E-3</v>
      </c>
      <c r="D31" s="1">
        <f>-66*10^-12</f>
        <v>-6.6000000000000005E-11</v>
      </c>
      <c r="E31" s="1">
        <f>7.9*10^-12</f>
        <v>7.8999999999999999E-12</v>
      </c>
      <c r="F31" s="1">
        <f>112/1000</f>
        <v>0.112</v>
      </c>
      <c r="G31" s="1">
        <f>-25*1000</f>
        <v>-25000</v>
      </c>
    </row>
    <row r="32" spans="1:7" hidden="1" x14ac:dyDescent="0.5">
      <c r="A32" s="1" t="s">
        <v>19</v>
      </c>
      <c r="B32" s="1">
        <f>99*10^-3</f>
        <v>9.9000000000000005E-2</v>
      </c>
      <c r="C32" s="1">
        <f>65*10^-4</f>
        <v>6.5000000000000006E-3</v>
      </c>
      <c r="D32" s="1">
        <f>-77*10^-12</f>
        <v>-7.6999999999999993E-11</v>
      </c>
      <c r="E32" s="1">
        <f>1.2*10^-12</f>
        <v>1.1999999999999999E-12</v>
      </c>
      <c r="F32" s="1">
        <v>0.64200000000000002</v>
      </c>
      <c r="G32" s="1">
        <v>-12000</v>
      </c>
    </row>
    <row r="33" spans="1:6" hidden="1" x14ac:dyDescent="0.5">
      <c r="E33" s="1" t="s">
        <v>20</v>
      </c>
      <c r="F33" s="1">
        <f>AVERAGE(F26,F27,F29,F32)</f>
        <v>0.33050000000000002</v>
      </c>
    </row>
    <row r="34" spans="1:6" hidden="1" x14ac:dyDescent="0.5"/>
    <row r="35" spans="1:6" hidden="1" x14ac:dyDescent="0.5"/>
    <row r="36" spans="1:6" hidden="1" x14ac:dyDescent="0.5"/>
    <row r="37" spans="1:6" hidden="1" x14ac:dyDescent="0.5"/>
    <row r="38" spans="1:6" hidden="1" x14ac:dyDescent="0.5">
      <c r="D38" s="4"/>
    </row>
    <row r="39" spans="1:6" hidden="1" x14ac:dyDescent="0.5">
      <c r="A39" s="1" t="s">
        <v>78</v>
      </c>
      <c r="B39" s="6" t="s">
        <v>64</v>
      </c>
      <c r="C39" s="5">
        <v>2900</v>
      </c>
      <c r="D39" s="5"/>
      <c r="E39" s="5"/>
    </row>
    <row r="40" spans="1:6" x14ac:dyDescent="0.5">
      <c r="B40" s="6"/>
      <c r="C40" s="5"/>
      <c r="D40" s="5"/>
      <c r="E40" s="5"/>
    </row>
    <row r="41" spans="1:6" x14ac:dyDescent="0.5">
      <c r="A41" s="1" t="s">
        <v>66</v>
      </c>
      <c r="B41" s="1" t="s">
        <v>65</v>
      </c>
      <c r="C41" s="1">
        <v>5.0000000000000001E-4</v>
      </c>
      <c r="D41" s="1">
        <v>1E-3</v>
      </c>
      <c r="E41" s="1">
        <v>1E-4</v>
      </c>
    </row>
    <row r="42" spans="1:6" x14ac:dyDescent="0.5">
      <c r="A42" s="1" t="s">
        <v>29</v>
      </c>
      <c r="B42" s="1" t="s">
        <v>30</v>
      </c>
      <c r="C42" s="1">
        <v>84</v>
      </c>
      <c r="D42" s="1">
        <v>53</v>
      </c>
      <c r="E42" s="1">
        <v>91</v>
      </c>
    </row>
    <row r="43" spans="1:6" x14ac:dyDescent="0.5">
      <c r="A43" s="1" t="s">
        <v>79</v>
      </c>
      <c r="B43" s="1" t="s">
        <v>31</v>
      </c>
      <c r="C43" s="1">
        <v>0.5</v>
      </c>
      <c r="D43" s="1">
        <v>0.6</v>
      </c>
      <c r="E43" s="1">
        <v>0.4</v>
      </c>
    </row>
    <row r="45" spans="1:6" x14ac:dyDescent="0.5">
      <c r="A45" s="1" t="s">
        <v>86</v>
      </c>
      <c r="C45" s="1">
        <v>3</v>
      </c>
      <c r="D45" s="1">
        <v>8</v>
      </c>
      <c r="E45" s="1">
        <v>16</v>
      </c>
    </row>
    <row r="46" spans="1:6" ht="17.25" customHeight="1" x14ac:dyDescent="0.5">
      <c r="A46" s="1" t="s">
        <v>32</v>
      </c>
      <c r="B46" s="1" t="s">
        <v>41</v>
      </c>
      <c r="C46" s="1">
        <v>7.6200000000000004E-2</v>
      </c>
      <c r="D46" s="1">
        <v>0.20380000000000001</v>
      </c>
      <c r="E46" s="1">
        <v>0.40639999999999998</v>
      </c>
    </row>
    <row r="47" spans="1:6" x14ac:dyDescent="0.5">
      <c r="A47" s="1" t="s">
        <v>80</v>
      </c>
    </row>
    <row r="48" spans="1:6" x14ac:dyDescent="0.5">
      <c r="A48" s="1" t="s">
        <v>81</v>
      </c>
    </row>
    <row r="50" spans="1:6" hidden="1" x14ac:dyDescent="0.5"/>
    <row r="51" spans="1:6" hidden="1" x14ac:dyDescent="0.5">
      <c r="A51" s="1" t="s">
        <v>82</v>
      </c>
      <c r="B51" s="1" t="s">
        <v>60</v>
      </c>
      <c r="C51" s="4">
        <v>1.5E-5</v>
      </c>
    </row>
    <row r="52" spans="1:6" hidden="1" x14ac:dyDescent="0.5"/>
    <row r="53" spans="1:6" hidden="1" x14ac:dyDescent="0.5"/>
    <row r="54" spans="1:6" hidden="1" x14ac:dyDescent="0.5"/>
    <row r="55" spans="1:6" hidden="1" x14ac:dyDescent="0.5">
      <c r="B55" s="1" t="s">
        <v>0</v>
      </c>
    </row>
    <row r="56" spans="1:6" x14ac:dyDescent="0.5">
      <c r="A56" s="1" t="s">
        <v>83</v>
      </c>
      <c r="B56" s="1" t="s">
        <v>61</v>
      </c>
      <c r="C56" s="1">
        <v>30</v>
      </c>
    </row>
    <row r="57" spans="1:6" x14ac:dyDescent="0.5">
      <c r="A57" s="1" t="s">
        <v>84</v>
      </c>
      <c r="B57" s="1" t="s">
        <v>33</v>
      </c>
      <c r="C57" s="1">
        <f>273.15+5</f>
        <v>278.14999999999998</v>
      </c>
      <c r="D57" s="1">
        <f>273.15+160</f>
        <v>433.15</v>
      </c>
      <c r="E57" s="1">
        <f>273.15+254</f>
        <v>527.15</v>
      </c>
    </row>
    <row r="59" spans="1:6" hidden="1" x14ac:dyDescent="0.5">
      <c r="A59" s="1" t="s">
        <v>37</v>
      </c>
      <c r="B59" s="1" t="s">
        <v>39</v>
      </c>
      <c r="C59" s="1">
        <v>1000</v>
      </c>
    </row>
    <row r="60" spans="1:6" hidden="1" x14ac:dyDescent="0.5">
      <c r="A60" s="1" t="s">
        <v>36</v>
      </c>
      <c r="B60" s="1" t="s">
        <v>38</v>
      </c>
      <c r="C60" s="1">
        <v>4184</v>
      </c>
    </row>
    <row r="61" spans="1:6" hidden="1" x14ac:dyDescent="0.5"/>
    <row r="62" spans="1:6" hidden="1" x14ac:dyDescent="0.5"/>
    <row r="63" spans="1:6" hidden="1" x14ac:dyDescent="0.5">
      <c r="A63" s="1" t="s">
        <v>35</v>
      </c>
      <c r="B63" s="1" t="s">
        <v>88</v>
      </c>
      <c r="C63" s="1" t="s">
        <v>42</v>
      </c>
      <c r="D63" s="1" t="s">
        <v>43</v>
      </c>
      <c r="E63" s="1" t="s">
        <v>44</v>
      </c>
      <c r="F63" s="1" t="s">
        <v>69</v>
      </c>
    </row>
    <row r="64" spans="1:6" hidden="1" x14ac:dyDescent="0.5">
      <c r="B64" s="7"/>
      <c r="C64" s="1">
        <f>G28-(G26+3*G27)</f>
        <v>10000</v>
      </c>
      <c r="D64" s="1">
        <f>G31-(G28+2*G29)</f>
        <v>35000</v>
      </c>
      <c r="E64" s="1">
        <f>G30-G31</f>
        <v>12500</v>
      </c>
      <c r="F64" s="1">
        <v>-12500</v>
      </c>
    </row>
    <row r="65" spans="1:6" hidden="1" x14ac:dyDescent="0.5">
      <c r="A65" s="1" t="s">
        <v>34</v>
      </c>
      <c r="B65" s="1" t="s">
        <v>85</v>
      </c>
      <c r="C65" s="1" t="s">
        <v>62</v>
      </c>
      <c r="D65" s="1" t="s">
        <v>14</v>
      </c>
      <c r="E65" s="1" t="s">
        <v>63</v>
      </c>
      <c r="F65" s="1" t="s">
        <v>68</v>
      </c>
    </row>
    <row r="66" spans="1:6" hidden="1" x14ac:dyDescent="0.5">
      <c r="B66" s="1" t="s">
        <v>0</v>
      </c>
      <c r="C66" s="1">
        <v>10000</v>
      </c>
      <c r="D66" s="1">
        <v>2000</v>
      </c>
      <c r="E66" s="1">
        <v>5000</v>
      </c>
      <c r="F66" s="1">
        <v>3000</v>
      </c>
    </row>
    <row r="67" spans="1:6" hidden="1" x14ac:dyDescent="0.5"/>
    <row r="68" spans="1:6" hidden="1" x14ac:dyDescent="0.5">
      <c r="A68" s="1" t="s">
        <v>7</v>
      </c>
      <c r="B68" s="1" t="s">
        <v>15</v>
      </c>
      <c r="C68" s="1" t="s">
        <v>45</v>
      </c>
      <c r="D68" s="1" t="s">
        <v>13</v>
      </c>
      <c r="E68" s="1" t="s">
        <v>46</v>
      </c>
      <c r="F68" s="1" t="s">
        <v>47</v>
      </c>
    </row>
    <row r="69" spans="1:6" hidden="1" x14ac:dyDescent="0.5">
      <c r="C69" s="4">
        <v>4.5999999999999998E-9</v>
      </c>
      <c r="D69" s="4">
        <v>2.2000000000000001E-7</v>
      </c>
      <c r="E69" s="4">
        <v>6.0999999999999997E-4</v>
      </c>
      <c r="F69" s="4">
        <v>1.1999999999999999E-3</v>
      </c>
    </row>
    <row r="70" spans="1:6" hidden="1" x14ac:dyDescent="0.5">
      <c r="C70" s="1" t="s">
        <v>0</v>
      </c>
      <c r="D70" s="1" t="s">
        <v>0</v>
      </c>
      <c r="E70" s="1" t="s">
        <v>0</v>
      </c>
    </row>
    <row r="71" spans="1:6" hidden="1" x14ac:dyDescent="0.5">
      <c r="A71" s="1" t="s">
        <v>40</v>
      </c>
      <c r="B71" s="1" t="s">
        <v>58</v>
      </c>
      <c r="C71" s="1">
        <v>8.3140000000000001</v>
      </c>
    </row>
    <row r="72" spans="1:6" hidden="1" x14ac:dyDescent="0.5">
      <c r="A72" s="1" t="s">
        <v>21</v>
      </c>
      <c r="B72" s="1" t="s">
        <v>59</v>
      </c>
      <c r="C72" s="1">
        <v>298.14999999999998</v>
      </c>
    </row>
    <row r="73" spans="1:6" x14ac:dyDescent="0.5">
      <c r="B73" s="1" t="s">
        <v>0</v>
      </c>
      <c r="C73" s="1" t="s">
        <v>0</v>
      </c>
    </row>
    <row r="78" spans="1:6" x14ac:dyDescent="0.5">
      <c r="B78" s="1" t="s">
        <v>0</v>
      </c>
      <c r="C78" s="1" t="s">
        <v>0</v>
      </c>
      <c r="D78" s="1" t="s">
        <v>0</v>
      </c>
      <c r="E78" s="1" t="s">
        <v>0</v>
      </c>
      <c r="F78" s="1" t="s">
        <v>0</v>
      </c>
    </row>
    <row r="79" spans="1:6" x14ac:dyDescent="0.5">
      <c r="C79" s="7"/>
    </row>
    <row r="80" spans="1:6" x14ac:dyDescent="0.5">
      <c r="B80" s="1" t="s">
        <v>0</v>
      </c>
      <c r="C80" s="1" t="s">
        <v>0</v>
      </c>
      <c r="D80" s="1" t="s">
        <v>0</v>
      </c>
      <c r="E80" s="1" t="s">
        <v>0</v>
      </c>
      <c r="F80" s="1" t="s">
        <v>0</v>
      </c>
    </row>
    <row r="81" spans="2:43" x14ac:dyDescent="0.5">
      <c r="C81" s="1" t="s">
        <v>0</v>
      </c>
      <c r="D81" s="1" t="s">
        <v>0</v>
      </c>
      <c r="E81" s="1" t="s">
        <v>0</v>
      </c>
      <c r="F81" s="1" t="s">
        <v>0</v>
      </c>
    </row>
    <row r="82" spans="2:43" x14ac:dyDescent="0.5">
      <c r="AQ82" s="1" t="s">
        <v>0</v>
      </c>
    </row>
    <row r="83" spans="2:43" x14ac:dyDescent="0.5">
      <c r="B83" s="1" t="s">
        <v>0</v>
      </c>
      <c r="C83" s="1" t="s">
        <v>0</v>
      </c>
      <c r="D83" s="1" t="s">
        <v>0</v>
      </c>
      <c r="E83" s="1" t="s">
        <v>0</v>
      </c>
      <c r="F83" s="1" t="s">
        <v>0</v>
      </c>
      <c r="G83" s="1" t="s">
        <v>0</v>
      </c>
      <c r="K83" s="1" t="s">
        <v>0</v>
      </c>
    </row>
    <row r="84" spans="2:43" x14ac:dyDescent="0.5">
      <c r="D84" s="1" t="s">
        <v>0</v>
      </c>
      <c r="E84" s="1" t="s">
        <v>0</v>
      </c>
      <c r="F84" s="1" t="s">
        <v>0</v>
      </c>
      <c r="G84" s="1" t="s">
        <v>0</v>
      </c>
    </row>
    <row r="117" spans="13:13" x14ac:dyDescent="0.5">
      <c r="M117" s="1" t="s">
        <v>0</v>
      </c>
    </row>
    <row r="122" spans="13:13" x14ac:dyDescent="0.5">
      <c r="M122" s="1" t="s">
        <v>0</v>
      </c>
    </row>
  </sheetData>
  <sheetProtection algorithmName="SHA-512" hashValue="IZGAG8RJPgnqRGgWHPGUap4UqC3IXemZyUxMzwN1milz36JauMuQuLLYCOkWRYJtC2fKXT1KUHNOswPWJZryzg==" saltValue="goik0stAp2u3OQhQvHtwrg==" spinCount="100000" sheet="1" objects="1" scenarios="1"/>
  <protectedRanges>
    <protectedRange sqref="C5:C11" name="Flow rates"/>
    <protectedRange sqref="C21:L22 C57:L57" name="Pressure Temperature"/>
    <protectedRange sqref="C41:E43" name="Catalyst"/>
    <protectedRange sqref="C45:K46" name="dpipe"/>
  </protectedRanges>
  <mergeCells count="3">
    <mergeCell ref="A1:G1"/>
    <mergeCell ref="A2:G2"/>
    <mergeCell ref="C4:G4"/>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H4"/>
  <sheetViews>
    <sheetView workbookViewId="0">
      <selection activeCell="H4" sqref="H4"/>
    </sheetView>
  </sheetViews>
  <sheetFormatPr defaultRowHeight="14.35" x14ac:dyDescent="0.5"/>
  <cols>
    <col min="2" max="2" width="20.87890625" customWidth="1"/>
    <col min="5" max="5" width="20.41015625" customWidth="1"/>
    <col min="8" max="8" width="11.41015625" customWidth="1"/>
  </cols>
  <sheetData>
    <row r="2" spans="2:8" x14ac:dyDescent="0.5">
      <c r="B2" t="s">
        <v>3</v>
      </c>
      <c r="E2" t="s">
        <v>4</v>
      </c>
      <c r="H2" t="s">
        <v>5</v>
      </c>
    </row>
    <row r="4" spans="2:8" x14ac:dyDescent="0.5">
      <c r="H4" t="s">
        <v>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4.35" x14ac:dyDescent="0.5"/>
  <sheetData>
    <row r="1" spans="1:1" x14ac:dyDescent="0.5">
      <c r="A1">
        <f>(-1)*((-100*0.108326^2*(951.989014507702+(1631/55296)*-1.95241408146516+(175/512)*-1.94640768008611+(575/13824)*-1.94340559583542+(44275/110592)*-1.9344169366711+(253/4096)*-1.92246281442296)*(93.7292126283528+(1631/55296)*3.71885365521954+(175/512)*3.70591703535227+(575/13824)*3.6994600003805+(44275/110592)*3.68013549648839+(253/4096)*3.65447647067592)*(0.888143829957019+(1631/55296)*-0.00566051692497781+(175/512)*-0.005667706359964+(575/13824)*-0.00567131811652921+(44275/110592)*-0.00568218133641261+(253/4096)*-0.00569676294880619)^2)/((951.989014507702+(1631/55296)*-1.95241408146516+(175/512)*-1.94640768008611+(575/13824)*-1.94340559583542+(44275/110592)*-1.9344169366711+(253/4096)*-1.92246281442296)+(952.753267293116+(1631/55296)*-1.8904225788949+(175/512)*-1.88410823847946+(575/13824)*-1.88095519873864+(44275/110592)*-1.87151747771983+(253/4096)*-1.85897976169963)+(93.7292126283528+(1631/55296)*3.71885365521954+(175/512)*3.70591703535227+(575/13824)*3.6994600003805+(44275/110592)*3.68013549648839+(253/4096)*3.65447647067592)+(0.764252785414392+(1631/55296)*0.0619915025702617+(175/512)*0.062299441606648+(575/13824)*0.062450397096777+(44275/110592)*0.0628994589512665+(253/4096)*0.0634830527233334))^2)</f>
        <v>2.1100843464428556E-2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Rainbow simulator</vt:lpstr>
      <vt:lpstr>Parameters</vt:lpstr>
      <vt:lpstr>Sheet1</vt:lpstr>
      <vt:lpstr>TEMPSHEET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tempaccount</dc:creator>
  <cp:lastModifiedBy>xunxun shi</cp:lastModifiedBy>
  <dcterms:created xsi:type="dcterms:W3CDTF">2017-05-19T19:28:06Z</dcterms:created>
  <dcterms:modified xsi:type="dcterms:W3CDTF">2017-12-29T01:00:24Z</dcterms:modified>
</cp:coreProperties>
</file>